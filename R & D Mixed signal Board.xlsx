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abh\Desktop\ABM folder\R &amp; D of Mixed signal PCB\"/>
    </mc:Choice>
  </mc:AlternateContent>
  <xr:revisionPtr revIDLastSave="0" documentId="13_ncr:1_{451AF33C-DBF4-4E1F-BDD1-86C06A818FBF}" xr6:coauthVersionLast="47" xr6:coauthVersionMax="47" xr10:uidLastSave="{00000000-0000-0000-0000-000000000000}"/>
  <bookViews>
    <workbookView xWindow="-108" yWindow="-108" windowWidth="23256" windowHeight="12456" xr2:uid="{5C5ED1C9-0F6C-4F46-B933-3A1B6CB6D746}"/>
  </bookViews>
  <sheets>
    <sheet name="All" sheetId="1" r:id="rId1"/>
    <sheet name="STM32F407" sheetId="2" r:id="rId2"/>
    <sheet name="Sensors" sheetId="4" r:id="rId3"/>
    <sheet name="Power supply and Bulk Cap." sheetId="5" r:id="rId4"/>
    <sheet name="Sheet3" sheetId="6" r:id="rId5"/>
    <sheet name="Sheet1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4" l="1"/>
</calcChain>
</file>

<file path=xl/sharedStrings.xml><?xml version="1.0" encoding="utf-8"?>
<sst xmlns="http://schemas.openxmlformats.org/spreadsheetml/2006/main" count="202" uniqueCount="180">
  <si>
    <t>Main mirocontroller</t>
  </si>
  <si>
    <t>gpio</t>
  </si>
  <si>
    <t>i2c</t>
  </si>
  <si>
    <t>uart</t>
  </si>
  <si>
    <t>clock frq</t>
  </si>
  <si>
    <t>Flash memory</t>
  </si>
  <si>
    <t>RAM</t>
  </si>
  <si>
    <t>voltage</t>
  </si>
  <si>
    <t>Manufature</t>
  </si>
  <si>
    <t>Availability</t>
  </si>
  <si>
    <t>costing</t>
  </si>
  <si>
    <t>Prog</t>
  </si>
  <si>
    <t>Debugger</t>
  </si>
  <si>
    <t>Controller should be from same family</t>
  </si>
  <si>
    <t>no of bits should be same</t>
  </si>
  <si>
    <t>no of address</t>
  </si>
  <si>
    <t>2 to power of bits</t>
  </si>
  <si>
    <t>clock freq</t>
  </si>
  <si>
    <t>programing  interface</t>
  </si>
  <si>
    <t>jtag/swd</t>
  </si>
  <si>
    <t>UART to USB  converter</t>
  </si>
  <si>
    <t>FTDI232, CH340C</t>
  </si>
  <si>
    <t xml:space="preserve">CH340 </t>
  </si>
  <si>
    <t>no need to connect ext clk</t>
  </si>
  <si>
    <t>Parameters for ADC</t>
  </si>
  <si>
    <t>Temperature and humid sensor</t>
  </si>
  <si>
    <t>SHT40-AD1B-R2</t>
  </si>
  <si>
    <t>Gas sensor air quality</t>
  </si>
  <si>
    <t>sound sensor</t>
  </si>
  <si>
    <t>SGP40-D-R4</t>
  </si>
  <si>
    <t>i2s</t>
  </si>
  <si>
    <t>3.3v</t>
  </si>
  <si>
    <t>Sampling rate</t>
  </si>
  <si>
    <t>GT-0903A</t>
  </si>
  <si>
    <t>Buzzer</t>
  </si>
  <si>
    <t>Accuracy</t>
  </si>
  <si>
    <t>VDD =1.08 to 3.6</t>
  </si>
  <si>
    <t>Avg i=0.4UA</t>
  </si>
  <si>
    <t>Ideal I=80nA</t>
  </si>
  <si>
    <t>I2c</t>
  </si>
  <si>
    <t>Accuracy=0.1c</t>
  </si>
  <si>
    <t>Accuracy=+_-1%</t>
  </si>
  <si>
    <t>Range 0 to 100%</t>
  </si>
  <si>
    <t>Range -40 to 125</t>
  </si>
  <si>
    <t>Page 3</t>
  </si>
  <si>
    <t>interface</t>
  </si>
  <si>
    <t>Page 9</t>
  </si>
  <si>
    <t>specification</t>
  </si>
  <si>
    <t>16 bit(8 bit for temp and 8 bit for humid)</t>
  </si>
  <si>
    <t>resoultion =16 bit</t>
  </si>
  <si>
    <t>page 11</t>
  </si>
  <si>
    <t>8 bit check sum</t>
  </si>
  <si>
    <t>MMICT5848-00-012</t>
  </si>
  <si>
    <t>1.8v</t>
  </si>
  <si>
    <t>STM32F103</t>
  </si>
  <si>
    <t>Internal block diagram</t>
  </si>
  <si>
    <t>Page 14</t>
  </si>
  <si>
    <t>Booting configuration</t>
  </si>
  <si>
    <t>Page-11</t>
  </si>
  <si>
    <t>Page 26</t>
  </si>
  <si>
    <t>PIN Names , Package info</t>
  </si>
  <si>
    <t>28-33</t>
  </si>
  <si>
    <t>Pin Confi</t>
  </si>
  <si>
    <t>Page 35</t>
  </si>
  <si>
    <t>Load cap, VDD</t>
  </si>
  <si>
    <t>Voltage Page</t>
  </si>
  <si>
    <t>Page 37</t>
  </si>
  <si>
    <t>Maximum Power Estimation</t>
  </si>
  <si>
    <t>Page 51</t>
  </si>
  <si>
    <t>Clock Conf</t>
  </si>
  <si>
    <t>Page 60</t>
  </si>
  <si>
    <t>ESD</t>
  </si>
  <si>
    <t>Page 68</t>
  </si>
  <si>
    <t>Reset</t>
  </si>
  <si>
    <t>Page 70</t>
  </si>
  <si>
    <t>I2C Pull up</t>
  </si>
  <si>
    <t>Page 78</t>
  </si>
  <si>
    <t>Design guidelines</t>
  </si>
  <si>
    <t xml:space="preserve"> do not need so put pull down Res.</t>
  </si>
  <si>
    <t>BOTTOM PORT I2S DIGITAL OUTPUT M</t>
  </si>
  <si>
    <t>By Sensirion AG</t>
  </si>
  <si>
    <t>Operating range: 0 … 100 %RH, −40…125 °C</t>
  </si>
  <si>
    <t>CKT diagram</t>
  </si>
  <si>
    <t>Electrical speification</t>
  </si>
  <si>
    <t>Page 5</t>
  </si>
  <si>
    <t>page 8</t>
  </si>
  <si>
    <t>Page 7</t>
  </si>
  <si>
    <t>Hardware interface</t>
  </si>
  <si>
    <t>BY TDK InvenSense</t>
  </si>
  <si>
    <t>Electrical specification</t>
  </si>
  <si>
    <t>Page 10</t>
  </si>
  <si>
    <t>Pin specification</t>
  </si>
  <si>
    <t>Page 30</t>
  </si>
  <si>
    <t>Block diagram</t>
  </si>
  <si>
    <t>Bulk capacitors</t>
  </si>
  <si>
    <t>C min</t>
  </si>
  <si>
    <t>D*(1-D)*IO/DELV*Fsw</t>
  </si>
  <si>
    <t>D</t>
  </si>
  <si>
    <t>Vo*1/VIN*eff</t>
  </si>
  <si>
    <t>Io</t>
  </si>
  <si>
    <t>Vin=vout</t>
  </si>
  <si>
    <t>5.1v</t>
  </si>
  <si>
    <t>Fws</t>
  </si>
  <si>
    <t>Eff</t>
  </si>
  <si>
    <t>https://www.meanwell.com/webapp/product/search.aspx?prod=RS-100</t>
  </si>
  <si>
    <t>Del V</t>
  </si>
  <si>
    <t>Cmin</t>
  </si>
  <si>
    <t>ESR</t>
  </si>
  <si>
    <t>Min</t>
  </si>
  <si>
    <t>Ripple I</t>
  </si>
  <si>
    <t>Max</t>
  </si>
  <si>
    <t>ESR is min in TH then in smd</t>
  </si>
  <si>
    <t>Ripple I max in TH then in smd</t>
  </si>
  <si>
    <t>3.15uf</t>
  </si>
  <si>
    <t>STM32F407</t>
  </si>
  <si>
    <t>Charge Pump:</t>
  </si>
  <si>
    <t>i/p 12v</t>
  </si>
  <si>
    <t>24v</t>
  </si>
  <si>
    <t>Caps</t>
  </si>
  <si>
    <t xml:space="preserve">Polar </t>
  </si>
  <si>
    <t xml:space="preserve">Non polar </t>
  </si>
  <si>
    <t>Ceramic</t>
  </si>
  <si>
    <t>Arangement of Capacitor, Diode, CLK, Gates</t>
  </si>
  <si>
    <t xml:space="preserve">Class a, Classb </t>
  </si>
  <si>
    <t>V1 + V1</t>
  </si>
  <si>
    <t>2X 5V</t>
  </si>
  <si>
    <t>Load voltage</t>
  </si>
  <si>
    <t>Class a (Stable, Low Leackage, Low ESR)</t>
  </si>
  <si>
    <t>Adv</t>
  </si>
  <si>
    <t>Less compo</t>
  </si>
  <si>
    <t>Min complex</t>
  </si>
  <si>
    <t>MLCC(multilayer ceramic capacitor)</t>
  </si>
  <si>
    <t>Page-19</t>
  </si>
  <si>
    <t xml:space="preserve">block </t>
  </si>
  <si>
    <t>SWD/JTAG</t>
  </si>
  <si>
    <t>Page-24</t>
  </si>
  <si>
    <t xml:space="preserve">Boot pins </t>
  </si>
  <si>
    <t>Page-25</t>
  </si>
  <si>
    <t>PRD ON and Vdd conditions</t>
  </si>
  <si>
    <t>Page-77</t>
  </si>
  <si>
    <t>VDDs, VREF, AVDD, GNDs</t>
  </si>
  <si>
    <t xml:space="preserve">Pending </t>
  </si>
  <si>
    <t>Page-82</t>
  </si>
  <si>
    <t>Low esr req. for Vcap1 &amp;2</t>
  </si>
  <si>
    <t>PHY RESET</t>
  </si>
  <si>
    <t>GPIO</t>
  </si>
  <si>
    <t>Page-102</t>
  </si>
  <si>
    <t>Crystal req</t>
  </si>
  <si>
    <t xml:space="preserve">Motor driver </t>
  </si>
  <si>
    <t>1 PWM, 3 GPIO, 1ADC _IN</t>
  </si>
  <si>
    <t>X2</t>
  </si>
  <si>
    <t>Page-112</t>
  </si>
  <si>
    <t>ESD Ratings</t>
  </si>
  <si>
    <t>CH340C</t>
  </si>
  <si>
    <t>1GPIO</t>
  </si>
  <si>
    <t>Page-119</t>
  </si>
  <si>
    <t>Reset conditions</t>
  </si>
  <si>
    <t>ADC</t>
  </si>
  <si>
    <t>2 GPIO</t>
  </si>
  <si>
    <t>DAC</t>
  </si>
  <si>
    <t>MIC</t>
  </si>
  <si>
    <t>1 PWM 1 GPIO</t>
  </si>
  <si>
    <t xml:space="preserve">Place zener on 1.8 </t>
  </si>
  <si>
    <t>Change net labes motor-2</t>
  </si>
  <si>
    <t>By Soberton Inc</t>
  </si>
  <si>
    <t>Page 1</t>
  </si>
  <si>
    <t>Electrical specifiation</t>
  </si>
  <si>
    <t>Circute Diagram</t>
  </si>
  <si>
    <t xml:space="preserve">board </t>
  </si>
  <si>
    <t xml:space="preserve">debugger </t>
  </si>
  <si>
    <t>R11</t>
  </si>
  <si>
    <t>Ossilator</t>
  </si>
  <si>
    <t>switch</t>
  </si>
  <si>
    <t xml:space="preserve">Regulators </t>
  </si>
  <si>
    <t>LD1117S33TR_SOT223</t>
  </si>
  <si>
    <t>STMicroelectronics</t>
  </si>
  <si>
    <t>LD1117S18TR_SOT223</t>
  </si>
  <si>
    <t>CST-931AP</t>
  </si>
  <si>
    <t>Same Sky (Formerly CUI Devices)</t>
  </si>
  <si>
    <t xml:space="preserve">	
Buzzers Transducer, Externally Driven Magnetic 3 V 80mA 2.73kHz 85dB @ 3V, 10cm Through Hole PC Pins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</si>
</sst>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7"/>
      <color rgb="FF444444"/>
      <name val="Arial"/>
      <family val="2"/>
    </font>
    <font>
      <sz val="11"/>
      <color rgb="FFFF0000"/>
      <name val="Calibri"/>
      <family val="2"/>
      <scheme val="minor"/>
    </font>
    <font>
      <b/>
      <sz val="13"/>
      <color rgb="FF5A5A5A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1" applyAlignment="1">
      <alignment vertical="center"/>
    </xf>
    <xf numFmtId="10" fontId="0" fillId="0" borderId="0" xfId="0" applyNumberFormat="1"/>
    <xf numFmtId="0" fontId="0" fillId="2" borderId="0" xfId="0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0" borderId="0" xfId="0" applyFont="1"/>
    <xf numFmtId="0" fontId="0" fillId="0" borderId="1" xfId="0" applyBorder="1"/>
    <xf numFmtId="9" fontId="0" fillId="0" borderId="1" xfId="0" applyNumberFormat="1" applyBorder="1"/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0" fontId="1" fillId="2" borderId="0" xfId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in/en/products/detail/sensirion-ag/SHT40-AD1B-R2/1353208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in/en/supplier-centers/cui-devi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9081-4EC1-4457-A02B-8459E0815AD8}">
  <dimension ref="A1:I30"/>
  <sheetViews>
    <sheetView tabSelected="1" topLeftCell="A7" workbookViewId="0">
      <selection activeCell="B28" sqref="B28"/>
    </sheetView>
  </sheetViews>
  <sheetFormatPr defaultRowHeight="14.4" x14ac:dyDescent="0.3"/>
  <cols>
    <col min="1" max="1" width="26.6640625" bestFit="1" customWidth="1"/>
    <col min="2" max="2" width="32.6640625" bestFit="1" customWidth="1"/>
    <col min="3" max="3" width="14.88671875" bestFit="1" customWidth="1"/>
    <col min="4" max="4" width="22.77734375" bestFit="1" customWidth="1"/>
  </cols>
  <sheetData>
    <row r="1" spans="1:6" x14ac:dyDescent="0.3">
      <c r="A1" t="s">
        <v>0</v>
      </c>
      <c r="B1" t="s">
        <v>1</v>
      </c>
      <c r="C1" t="s">
        <v>8</v>
      </c>
      <c r="F1" t="s">
        <v>19</v>
      </c>
    </row>
    <row r="2" spans="1:6" x14ac:dyDescent="0.3">
      <c r="B2" t="s">
        <v>2</v>
      </c>
      <c r="C2" t="s">
        <v>9</v>
      </c>
    </row>
    <row r="3" spans="1:6" x14ac:dyDescent="0.3">
      <c r="B3" t="s">
        <v>3</v>
      </c>
      <c r="C3" t="s">
        <v>10</v>
      </c>
    </row>
    <row r="4" spans="1:6" x14ac:dyDescent="0.3">
      <c r="B4" t="s">
        <v>4</v>
      </c>
      <c r="C4" t="s">
        <v>11</v>
      </c>
    </row>
    <row r="5" spans="1:6" x14ac:dyDescent="0.3">
      <c r="B5" t="s">
        <v>5</v>
      </c>
    </row>
    <row r="6" spans="1:6" x14ac:dyDescent="0.3">
      <c r="B6" t="s">
        <v>6</v>
      </c>
    </row>
    <row r="7" spans="1:6" x14ac:dyDescent="0.3">
      <c r="B7" t="s">
        <v>7</v>
      </c>
    </row>
    <row r="9" spans="1:6" x14ac:dyDescent="0.3">
      <c r="A9" t="s">
        <v>12</v>
      </c>
      <c r="B9" t="s">
        <v>13</v>
      </c>
      <c r="D9" s="6"/>
    </row>
    <row r="10" spans="1:6" ht="19.2" x14ac:dyDescent="0.3">
      <c r="B10" t="s">
        <v>14</v>
      </c>
      <c r="D10" s="7" t="s">
        <v>79</v>
      </c>
    </row>
    <row r="11" spans="1:6" x14ac:dyDescent="0.3">
      <c r="A11" t="s">
        <v>15</v>
      </c>
      <c r="B11" t="s">
        <v>16</v>
      </c>
    </row>
    <row r="12" spans="1:6" x14ac:dyDescent="0.3">
      <c r="B12" t="s">
        <v>17</v>
      </c>
    </row>
    <row r="13" spans="1:6" x14ac:dyDescent="0.3">
      <c r="B13" t="s">
        <v>18</v>
      </c>
    </row>
    <row r="15" spans="1:6" x14ac:dyDescent="0.3">
      <c r="A15" t="s">
        <v>20</v>
      </c>
      <c r="B15" t="s">
        <v>21</v>
      </c>
      <c r="C15" t="s">
        <v>22</v>
      </c>
      <c r="D15" t="s">
        <v>23</v>
      </c>
    </row>
    <row r="17" spans="1:9" x14ac:dyDescent="0.3">
      <c r="A17" t="s">
        <v>24</v>
      </c>
    </row>
    <row r="19" spans="1:9" x14ac:dyDescent="0.3">
      <c r="A19" t="s">
        <v>25</v>
      </c>
      <c r="B19" s="1" t="s">
        <v>26</v>
      </c>
      <c r="C19" t="s">
        <v>35</v>
      </c>
      <c r="D19" t="s">
        <v>31</v>
      </c>
      <c r="H19" t="s">
        <v>44</v>
      </c>
      <c r="I19" t="s">
        <v>45</v>
      </c>
    </row>
    <row r="20" spans="1:9" x14ac:dyDescent="0.3">
      <c r="B20" s="1"/>
      <c r="C20" t="s">
        <v>40</v>
      </c>
      <c r="D20" s="5" t="s">
        <v>41</v>
      </c>
      <c r="E20" t="s">
        <v>42</v>
      </c>
      <c r="H20" t="s">
        <v>46</v>
      </c>
      <c r="I20" t="s">
        <v>47</v>
      </c>
    </row>
    <row r="21" spans="1:9" x14ac:dyDescent="0.3">
      <c r="B21" s="1"/>
      <c r="C21" t="s">
        <v>36</v>
      </c>
      <c r="E21" t="s">
        <v>43</v>
      </c>
    </row>
    <row r="22" spans="1:9" x14ac:dyDescent="0.3">
      <c r="B22" s="1"/>
      <c r="C22" t="s">
        <v>37</v>
      </c>
      <c r="E22" t="s">
        <v>48</v>
      </c>
      <c r="I22" t="s">
        <v>51</v>
      </c>
    </row>
    <row r="23" spans="1:9" x14ac:dyDescent="0.3">
      <c r="B23" s="1"/>
      <c r="C23" t="s">
        <v>38</v>
      </c>
    </row>
    <row r="24" spans="1:9" x14ac:dyDescent="0.3">
      <c r="B24" s="1"/>
      <c r="C24" t="s">
        <v>39</v>
      </c>
    </row>
    <row r="25" spans="1:9" x14ac:dyDescent="0.3">
      <c r="B25" s="1"/>
    </row>
    <row r="26" spans="1:9" x14ac:dyDescent="0.3">
      <c r="B26" s="1"/>
    </row>
    <row r="27" spans="1:9" x14ac:dyDescent="0.3">
      <c r="A27" t="s">
        <v>27</v>
      </c>
      <c r="B27" t="s">
        <v>29</v>
      </c>
      <c r="C27" t="s">
        <v>2</v>
      </c>
      <c r="D27" t="s">
        <v>31</v>
      </c>
      <c r="E27" t="s">
        <v>49</v>
      </c>
      <c r="G27" t="s">
        <v>51</v>
      </c>
      <c r="H27" t="s">
        <v>50</v>
      </c>
    </row>
    <row r="28" spans="1:9" x14ac:dyDescent="0.3">
      <c r="A28" t="s">
        <v>28</v>
      </c>
      <c r="B28" s="2" t="s">
        <v>52</v>
      </c>
      <c r="C28" t="s">
        <v>30</v>
      </c>
      <c r="D28" t="s">
        <v>53</v>
      </c>
      <c r="E28" t="s">
        <v>32</v>
      </c>
    </row>
    <row r="29" spans="1:9" x14ac:dyDescent="0.3">
      <c r="A29" t="s">
        <v>34</v>
      </c>
      <c r="B29" s="3" t="s">
        <v>33</v>
      </c>
      <c r="D29" t="s">
        <v>31</v>
      </c>
    </row>
    <row r="30" spans="1:9" x14ac:dyDescent="0.3">
      <c r="B30" s="4"/>
    </row>
  </sheetData>
  <hyperlinks>
    <hyperlink ref="B19" r:id="rId1" display="https://www.digikey.in/en/products/detail/sensirion-ag/SHT40-AD1B-R2/13532084" xr:uid="{3859AFE8-51B3-403D-973C-C1812239E61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1916-48D4-4FA1-A69A-875829920B74}">
  <dimension ref="A1:C13"/>
  <sheetViews>
    <sheetView workbookViewId="0"/>
  </sheetViews>
  <sheetFormatPr defaultRowHeight="14.4" x14ac:dyDescent="0.3"/>
  <cols>
    <col min="1" max="1" width="10.44140625" bestFit="1" customWidth="1"/>
    <col min="2" max="2" width="22" bestFit="1" customWidth="1"/>
    <col min="3" max="3" width="25.44140625" bestFit="1" customWidth="1"/>
  </cols>
  <sheetData>
    <row r="1" spans="1:3" x14ac:dyDescent="0.3">
      <c r="A1" t="s">
        <v>54</v>
      </c>
    </row>
    <row r="2" spans="1:3" x14ac:dyDescent="0.3">
      <c r="A2" t="s">
        <v>58</v>
      </c>
      <c r="B2" t="s">
        <v>55</v>
      </c>
    </row>
    <row r="3" spans="1:3" x14ac:dyDescent="0.3">
      <c r="A3" t="s">
        <v>56</v>
      </c>
      <c r="B3" t="s">
        <v>57</v>
      </c>
      <c r="C3" t="s">
        <v>78</v>
      </c>
    </row>
    <row r="4" spans="1:3" x14ac:dyDescent="0.3">
      <c r="A4" t="s">
        <v>59</v>
      </c>
      <c r="B4" t="s">
        <v>60</v>
      </c>
    </row>
    <row r="5" spans="1:3" x14ac:dyDescent="0.3">
      <c r="A5" t="s">
        <v>61</v>
      </c>
      <c r="B5" t="s">
        <v>62</v>
      </c>
    </row>
    <row r="6" spans="1:3" x14ac:dyDescent="0.3">
      <c r="A6" t="s">
        <v>63</v>
      </c>
      <c r="B6" t="s">
        <v>64</v>
      </c>
    </row>
    <row r="7" spans="1:3" x14ac:dyDescent="0.3">
      <c r="A7" t="s">
        <v>63</v>
      </c>
      <c r="B7" t="s">
        <v>65</v>
      </c>
    </row>
    <row r="8" spans="1:3" x14ac:dyDescent="0.3">
      <c r="A8" t="s">
        <v>66</v>
      </c>
      <c r="B8" t="s">
        <v>67</v>
      </c>
    </row>
    <row r="9" spans="1:3" x14ac:dyDescent="0.3">
      <c r="A9" t="s">
        <v>68</v>
      </c>
      <c r="B9" t="s">
        <v>69</v>
      </c>
    </row>
    <row r="10" spans="1:3" x14ac:dyDescent="0.3">
      <c r="A10" t="s">
        <v>70</v>
      </c>
      <c r="B10" t="s">
        <v>71</v>
      </c>
    </row>
    <row r="11" spans="1:3" x14ac:dyDescent="0.3">
      <c r="A11" t="s">
        <v>72</v>
      </c>
      <c r="B11" t="s">
        <v>73</v>
      </c>
    </row>
    <row r="12" spans="1:3" x14ac:dyDescent="0.3">
      <c r="A12" t="s">
        <v>74</v>
      </c>
      <c r="B12" t="s">
        <v>75</v>
      </c>
    </row>
    <row r="13" spans="1:3" x14ac:dyDescent="0.3">
      <c r="A13" t="s">
        <v>76</v>
      </c>
      <c r="B1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F695-5BF7-4DED-9C44-24165B93A696}">
  <dimension ref="A1:F28"/>
  <sheetViews>
    <sheetView zoomScale="85" zoomScaleNormal="85" workbookViewId="0">
      <selection activeCell="A15" sqref="A15"/>
    </sheetView>
  </sheetViews>
  <sheetFormatPr defaultRowHeight="14.4" x14ac:dyDescent="0.3"/>
  <cols>
    <col min="1" max="1" width="18.33203125" customWidth="1"/>
    <col min="2" max="2" width="18.5546875" bestFit="1" customWidth="1"/>
  </cols>
  <sheetData>
    <row r="1" spans="1:3" x14ac:dyDescent="0.3">
      <c r="A1" s="8" t="s">
        <v>25</v>
      </c>
      <c r="C1" t="s">
        <v>81</v>
      </c>
    </row>
    <row r="2" spans="1:3" x14ac:dyDescent="0.3">
      <c r="A2" t="s">
        <v>26</v>
      </c>
      <c r="B2" t="s">
        <v>80</v>
      </c>
    </row>
    <row r="4" spans="1:3" x14ac:dyDescent="0.3">
      <c r="A4" t="s">
        <v>44</v>
      </c>
      <c r="B4" t="s">
        <v>82</v>
      </c>
    </row>
    <row r="5" spans="1:3" x14ac:dyDescent="0.3">
      <c r="A5" t="s">
        <v>46</v>
      </c>
      <c r="B5" t="s">
        <v>83</v>
      </c>
    </row>
    <row r="7" spans="1:3" x14ac:dyDescent="0.3">
      <c r="A7" s="8" t="s">
        <v>27</v>
      </c>
    </row>
    <row r="8" spans="1:3" x14ac:dyDescent="0.3">
      <c r="A8" t="s">
        <v>29</v>
      </c>
      <c r="B8" t="s">
        <v>80</v>
      </c>
    </row>
    <row r="10" spans="1:3" x14ac:dyDescent="0.3">
      <c r="A10" t="s">
        <v>84</v>
      </c>
      <c r="B10" t="s">
        <v>83</v>
      </c>
    </row>
    <row r="11" spans="1:3" x14ac:dyDescent="0.3">
      <c r="A11" t="s">
        <v>86</v>
      </c>
      <c r="B11" t="s">
        <v>87</v>
      </c>
    </row>
    <row r="12" spans="1:3" x14ac:dyDescent="0.3">
      <c r="A12" t="s">
        <v>85</v>
      </c>
      <c r="B12" t="s">
        <v>82</v>
      </c>
    </row>
    <row r="14" spans="1:3" x14ac:dyDescent="0.3">
      <c r="A14" s="8" t="s">
        <v>28</v>
      </c>
    </row>
    <row r="15" spans="1:3" x14ac:dyDescent="0.3">
      <c r="A15" s="2" t="s">
        <v>52</v>
      </c>
      <c r="B15" t="s">
        <v>88</v>
      </c>
    </row>
    <row r="17" spans="1:6" x14ac:dyDescent="0.3">
      <c r="A17" t="s">
        <v>84</v>
      </c>
      <c r="B17" t="s">
        <v>89</v>
      </c>
    </row>
    <row r="18" spans="1:6" x14ac:dyDescent="0.3">
      <c r="A18" t="s">
        <v>90</v>
      </c>
      <c r="B18" t="s">
        <v>91</v>
      </c>
    </row>
    <row r="19" spans="1:6" x14ac:dyDescent="0.3">
      <c r="A19" t="s">
        <v>92</v>
      </c>
      <c r="B19" t="s">
        <v>93</v>
      </c>
    </row>
    <row r="21" spans="1:6" x14ac:dyDescent="0.3">
      <c r="A21" s="8" t="s">
        <v>34</v>
      </c>
    </row>
    <row r="22" spans="1:6" ht="39.6" x14ac:dyDescent="0.3">
      <c r="A22" t="s">
        <v>33</v>
      </c>
      <c r="B22" t="s">
        <v>164</v>
      </c>
      <c r="C22" s="12" t="s">
        <v>177</v>
      </c>
      <c r="D22" s="6"/>
    </row>
    <row r="23" spans="1:6" ht="201.6" x14ac:dyDescent="0.3">
      <c r="D23" s="13" t="s">
        <v>178</v>
      </c>
      <c r="F23" s="11" t="s">
        <v>179</v>
      </c>
    </row>
    <row r="24" spans="1:6" x14ac:dyDescent="0.3">
      <c r="A24" t="s">
        <v>165</v>
      </c>
      <c r="B24" t="s">
        <v>166</v>
      </c>
    </row>
    <row r="25" spans="1:6" x14ac:dyDescent="0.3">
      <c r="A25" t="s">
        <v>44</v>
      </c>
      <c r="B25" t="s">
        <v>167</v>
      </c>
      <c r="E25">
        <f>3/120</f>
        <v>2.5000000000000001E-2</v>
      </c>
    </row>
    <row r="27" spans="1:6" x14ac:dyDescent="0.3">
      <c r="A27" t="s">
        <v>173</v>
      </c>
      <c r="B27" t="s">
        <v>174</v>
      </c>
      <c r="D27" t="s">
        <v>175</v>
      </c>
    </row>
    <row r="28" spans="1:6" x14ac:dyDescent="0.3">
      <c r="B28" t="s">
        <v>176</v>
      </c>
    </row>
  </sheetData>
  <hyperlinks>
    <hyperlink ref="D23" r:id="rId1" display="https://www.digikey.in/en/supplier-centers/cui-devices" xr:uid="{7AD0DB26-8A7E-40D9-94A9-C4C2CC023DC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04F3-1508-49F7-8403-589F29AAE504}">
  <dimension ref="A1:D13"/>
  <sheetViews>
    <sheetView workbookViewId="0">
      <selection activeCell="D17" sqref="D17"/>
    </sheetView>
  </sheetViews>
  <sheetFormatPr defaultRowHeight="14.4" x14ac:dyDescent="0.3"/>
  <cols>
    <col min="2" max="2" width="19.44140625" bestFit="1" customWidth="1"/>
    <col min="4" max="4" width="61.44140625" bestFit="1" customWidth="1"/>
  </cols>
  <sheetData>
    <row r="1" spans="1:4" x14ac:dyDescent="0.3">
      <c r="A1" t="s">
        <v>94</v>
      </c>
      <c r="D1" t="s">
        <v>104</v>
      </c>
    </row>
    <row r="2" spans="1:4" x14ac:dyDescent="0.3">
      <c r="A2" s="9" t="s">
        <v>95</v>
      </c>
      <c r="B2" s="9" t="s">
        <v>96</v>
      </c>
    </row>
    <row r="3" spans="1:4" x14ac:dyDescent="0.3">
      <c r="A3" s="9" t="s">
        <v>97</v>
      </c>
      <c r="B3" s="9" t="s">
        <v>98</v>
      </c>
    </row>
    <row r="4" spans="1:4" x14ac:dyDescent="0.3">
      <c r="A4" s="9"/>
      <c r="B4" s="9"/>
    </row>
    <row r="5" spans="1:4" x14ac:dyDescent="0.3">
      <c r="A5" s="9" t="s">
        <v>99</v>
      </c>
      <c r="B5" s="9">
        <v>0.39100000000000001</v>
      </c>
    </row>
    <row r="6" spans="1:4" x14ac:dyDescent="0.3">
      <c r="A6" s="9" t="s">
        <v>100</v>
      </c>
      <c r="B6" s="9" t="s">
        <v>101</v>
      </c>
    </row>
    <row r="7" spans="1:4" x14ac:dyDescent="0.3">
      <c r="A7" s="9" t="s">
        <v>102</v>
      </c>
      <c r="B7" s="9">
        <v>60000</v>
      </c>
    </row>
    <row r="8" spans="1:4" x14ac:dyDescent="0.3">
      <c r="A8" s="9" t="s">
        <v>103</v>
      </c>
      <c r="B8" s="10">
        <v>0.77</v>
      </c>
    </row>
    <row r="9" spans="1:4" x14ac:dyDescent="0.3">
      <c r="A9" s="9" t="s">
        <v>105</v>
      </c>
      <c r="B9" s="9">
        <v>0.08</v>
      </c>
    </row>
    <row r="10" spans="1:4" x14ac:dyDescent="0.3">
      <c r="A10" s="9" t="s">
        <v>97</v>
      </c>
      <c r="B10" s="9">
        <v>1.298</v>
      </c>
    </row>
    <row r="11" spans="1:4" x14ac:dyDescent="0.3">
      <c r="A11" s="9" t="s">
        <v>106</v>
      </c>
      <c r="B11" s="9" t="s">
        <v>113</v>
      </c>
    </row>
    <row r="12" spans="1:4" x14ac:dyDescent="0.3">
      <c r="A12" s="9" t="s">
        <v>107</v>
      </c>
      <c r="B12" s="9" t="s">
        <v>108</v>
      </c>
      <c r="D12" t="s">
        <v>111</v>
      </c>
    </row>
    <row r="13" spans="1:4" x14ac:dyDescent="0.3">
      <c r="A13" s="9" t="s">
        <v>109</v>
      </c>
      <c r="B13" s="9" t="s">
        <v>110</v>
      </c>
      <c r="D13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9602-8FE5-4E30-A1B3-E020EFCA5DD3}">
  <dimension ref="A1:G19"/>
  <sheetViews>
    <sheetView topLeftCell="A3" workbookViewId="0">
      <selection activeCell="E13" sqref="E13"/>
    </sheetView>
  </sheetViews>
  <sheetFormatPr defaultRowHeight="14.4" x14ac:dyDescent="0.3"/>
  <cols>
    <col min="1" max="1" width="22.33203125" bestFit="1" customWidth="1"/>
    <col min="2" max="2" width="23.6640625" bestFit="1" customWidth="1"/>
    <col min="3" max="3" width="11.44140625" bestFit="1" customWidth="1"/>
  </cols>
  <sheetData>
    <row r="1" spans="1:7" x14ac:dyDescent="0.3">
      <c r="A1" t="s">
        <v>115</v>
      </c>
      <c r="B1" t="s">
        <v>116</v>
      </c>
      <c r="C1" t="s">
        <v>117</v>
      </c>
      <c r="E1" t="s">
        <v>118</v>
      </c>
      <c r="F1" t="s">
        <v>119</v>
      </c>
      <c r="G1" t="s">
        <v>120</v>
      </c>
    </row>
    <row r="2" spans="1:7" x14ac:dyDescent="0.3">
      <c r="B2">
        <v>12</v>
      </c>
      <c r="G2" t="s">
        <v>121</v>
      </c>
    </row>
    <row r="3" spans="1:7" ht="86.4" x14ac:dyDescent="0.3">
      <c r="A3" s="11" t="s">
        <v>122</v>
      </c>
      <c r="G3" t="s">
        <v>123</v>
      </c>
    </row>
    <row r="4" spans="1:7" x14ac:dyDescent="0.3">
      <c r="A4" t="s">
        <v>124</v>
      </c>
      <c r="B4" t="s">
        <v>125</v>
      </c>
      <c r="C4" t="s">
        <v>126</v>
      </c>
      <c r="G4" t="s">
        <v>127</v>
      </c>
    </row>
    <row r="5" spans="1:7" x14ac:dyDescent="0.3">
      <c r="A5" t="s">
        <v>128</v>
      </c>
      <c r="B5" t="s">
        <v>129</v>
      </c>
      <c r="C5" t="s">
        <v>130</v>
      </c>
      <c r="G5" t="s">
        <v>131</v>
      </c>
    </row>
    <row r="7" spans="1:7" x14ac:dyDescent="0.3">
      <c r="A7" t="s">
        <v>114</v>
      </c>
    </row>
    <row r="8" spans="1:7" x14ac:dyDescent="0.3">
      <c r="A8" t="s">
        <v>132</v>
      </c>
      <c r="B8" t="s">
        <v>133</v>
      </c>
      <c r="C8" t="s">
        <v>134</v>
      </c>
    </row>
    <row r="9" spans="1:7" x14ac:dyDescent="0.3">
      <c r="A9" t="s">
        <v>135</v>
      </c>
      <c r="B9" t="s">
        <v>136</v>
      </c>
    </row>
    <row r="10" spans="1:7" x14ac:dyDescent="0.3">
      <c r="A10" t="s">
        <v>137</v>
      </c>
      <c r="B10" t="s">
        <v>138</v>
      </c>
    </row>
    <row r="11" spans="1:7" x14ac:dyDescent="0.3">
      <c r="A11" t="s">
        <v>139</v>
      </c>
      <c r="B11" t="s">
        <v>140</v>
      </c>
      <c r="E11" t="s">
        <v>141</v>
      </c>
    </row>
    <row r="12" spans="1:7" x14ac:dyDescent="0.3">
      <c r="A12" t="s">
        <v>142</v>
      </c>
      <c r="B12" t="s">
        <v>143</v>
      </c>
      <c r="E12" t="s">
        <v>144</v>
      </c>
      <c r="F12" t="s">
        <v>145</v>
      </c>
    </row>
    <row r="13" spans="1:7" x14ac:dyDescent="0.3">
      <c r="A13" t="s">
        <v>146</v>
      </c>
      <c r="B13" t="s">
        <v>147</v>
      </c>
      <c r="E13" t="s">
        <v>148</v>
      </c>
      <c r="F13" t="s">
        <v>149</v>
      </c>
      <c r="G13" t="s">
        <v>150</v>
      </c>
    </row>
    <row r="14" spans="1:7" x14ac:dyDescent="0.3">
      <c r="A14" t="s">
        <v>151</v>
      </c>
      <c r="B14" t="s">
        <v>152</v>
      </c>
      <c r="E14" t="s">
        <v>153</v>
      </c>
      <c r="F14" t="s">
        <v>154</v>
      </c>
    </row>
    <row r="15" spans="1:7" x14ac:dyDescent="0.3">
      <c r="A15" t="s">
        <v>155</v>
      </c>
      <c r="B15" t="s">
        <v>156</v>
      </c>
      <c r="E15" t="s">
        <v>157</v>
      </c>
      <c r="F15" t="s">
        <v>158</v>
      </c>
    </row>
    <row r="16" spans="1:7" x14ac:dyDescent="0.3">
      <c r="E16" t="s">
        <v>159</v>
      </c>
      <c r="F16" t="s">
        <v>154</v>
      </c>
    </row>
    <row r="17" spans="1:6" x14ac:dyDescent="0.3">
      <c r="E17" t="s">
        <v>160</v>
      </c>
      <c r="F17" t="s">
        <v>161</v>
      </c>
    </row>
    <row r="18" spans="1:6" x14ac:dyDescent="0.3">
      <c r="A18" t="s">
        <v>162</v>
      </c>
    </row>
    <row r="19" spans="1:6" x14ac:dyDescent="0.3">
      <c r="A19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48CD-B5C9-4806-9DD4-D41C09CB853E}">
  <dimension ref="A1:B4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168</v>
      </c>
    </row>
    <row r="2" spans="1:2" x14ac:dyDescent="0.3">
      <c r="A2" t="s">
        <v>169</v>
      </c>
      <c r="B2" t="s">
        <v>170</v>
      </c>
    </row>
    <row r="3" spans="1:2" x14ac:dyDescent="0.3">
      <c r="B3" t="s">
        <v>171</v>
      </c>
    </row>
    <row r="4" spans="1:2" x14ac:dyDescent="0.3">
      <c r="B4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STM32F407</vt:lpstr>
      <vt:lpstr>Sensors</vt:lpstr>
      <vt:lpstr>Power supply and Bulk Cap.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 M</dc:creator>
  <cp:lastModifiedBy>Abhishek B M</cp:lastModifiedBy>
  <dcterms:created xsi:type="dcterms:W3CDTF">2026-08-20T10:41:00Z</dcterms:created>
  <dcterms:modified xsi:type="dcterms:W3CDTF">2026-09-02T16:31:47Z</dcterms:modified>
</cp:coreProperties>
</file>